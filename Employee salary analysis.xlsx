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<sst xmlns="http://schemas.openxmlformats.org/spreadsheetml/2006/main" count="43" uniqueCount="30">
  <si>
    <t>Employee</t>
  </si>
  <si>
    <t>Department</t>
  </si>
  <si>
    <t>Salary</t>
  </si>
  <si>
    <t>Emp001</t>
  </si>
  <si>
    <t>Sales</t>
  </si>
  <si>
    <t>Emp002</t>
  </si>
  <si>
    <t>Emp003</t>
  </si>
  <si>
    <t>Emp004</t>
  </si>
  <si>
    <t>HR</t>
  </si>
  <si>
    <t>Emp005</t>
  </si>
  <si>
    <t>Emp006</t>
  </si>
  <si>
    <t>Emp007</t>
  </si>
  <si>
    <t>IT</t>
  </si>
  <si>
    <t>Emp008</t>
  </si>
  <si>
    <t>Emp009</t>
  </si>
  <si>
    <t>Emp010</t>
  </si>
  <si>
    <t>Emp011</t>
  </si>
  <si>
    <t>Finance</t>
  </si>
  <si>
    <t>Emp012</t>
  </si>
  <si>
    <t>Emp013</t>
  </si>
  <si>
    <t>Emp014</t>
  </si>
  <si>
    <t>Marketing</t>
  </si>
  <si>
    <t>Emp015</t>
  </si>
  <si>
    <t>Emp016</t>
  </si>
  <si>
    <t>Emp017</t>
  </si>
  <si>
    <t>Operations</t>
  </si>
  <si>
    <t>Emp018</t>
  </si>
  <si>
    <t>Emp019</t>
  </si>
  <si>
    <t>Emp020</t>
  </si>
  <si>
    <t>Executive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</si>
</sst>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285750</xdr:colOff>
      <xdr:row>18</xdr:row>
      <xdr:rowOff>0</xdr:rowOff>
    </xdr:from>
    <xdr:ext cx="5715000" cy="3533775"/>
    <xdr:pic>
      <xdr:nvPicPr>
        <xdr:cNvPr id="50528520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42000.0</v>
      </c>
      <c r="D2" s="2">
        <f>AVERAGE(C2:C21)</f>
        <v>54650</v>
      </c>
    </row>
    <row r="3">
      <c r="A3" s="1" t="s">
        <v>5</v>
      </c>
      <c r="B3" s="1" t="s">
        <v>4</v>
      </c>
      <c r="C3" s="1">
        <v>45000.0</v>
      </c>
      <c r="D3" s="2">
        <f>MEDIAN(C2:C21)</f>
        <v>51500</v>
      </c>
    </row>
    <row r="4">
      <c r="A4" s="1" t="s">
        <v>6</v>
      </c>
      <c r="B4" s="1" t="s">
        <v>4</v>
      </c>
      <c r="C4" s="1">
        <v>48000.0</v>
      </c>
      <c r="D4" s="2" t="str">
        <f>_xlfn.MODE.SNGL(C2:C21)</f>
        <v>#N/A</v>
      </c>
    </row>
    <row r="5">
      <c r="A5" s="1" t="s">
        <v>7</v>
      </c>
      <c r="B5" s="1" t="s">
        <v>8</v>
      </c>
      <c r="C5" s="1">
        <v>40000.0</v>
      </c>
      <c r="D5" s="2">
        <f>MIN(C2:C21)</f>
        <v>40000</v>
      </c>
    </row>
    <row r="6">
      <c r="A6" s="1" t="s">
        <v>9</v>
      </c>
      <c r="B6" s="1" t="s">
        <v>8</v>
      </c>
      <c r="C6" s="1">
        <v>43000.0</v>
      </c>
      <c r="D6" s="2">
        <f>MAX(C2:C21)</f>
        <v>120000</v>
      </c>
    </row>
    <row r="7">
      <c r="A7" s="1" t="s">
        <v>10</v>
      </c>
      <c r="B7" s="1" t="s">
        <v>8</v>
      </c>
      <c r="C7" s="1">
        <v>46000.0</v>
      </c>
      <c r="D7" s="2">
        <f>_xlfn.QUARTILE.INC(C2:C21,1)</f>
        <v>46750</v>
      </c>
    </row>
    <row r="8">
      <c r="A8" s="1" t="s">
        <v>11</v>
      </c>
      <c r="B8" s="1" t="s">
        <v>12</v>
      </c>
      <c r="C8" s="1">
        <v>55000.0</v>
      </c>
      <c r="D8" s="2">
        <f>_xlfn.QUARTILE.INC(C2:C21,2)</f>
        <v>51500</v>
      </c>
    </row>
    <row r="9">
      <c r="A9" s="1" t="s">
        <v>13</v>
      </c>
      <c r="B9" s="1" t="s">
        <v>12</v>
      </c>
      <c r="C9" s="1">
        <v>58000.0</v>
      </c>
      <c r="D9" s="2">
        <f>_xlfn.QUARTILE.INC(C2:C21,3)</f>
        <v>56250</v>
      </c>
    </row>
    <row r="10">
      <c r="A10" s="1" t="s">
        <v>14</v>
      </c>
      <c r="B10" s="1" t="s">
        <v>12</v>
      </c>
      <c r="C10" s="1">
        <v>62000.0</v>
      </c>
      <c r="D10" s="2">
        <f>_xlfn.VAR.S(C2:C21)</f>
        <v>279397368.4</v>
      </c>
    </row>
    <row r="11">
      <c r="A11" s="1" t="s">
        <v>15</v>
      </c>
      <c r="B11" s="1" t="s">
        <v>12</v>
      </c>
      <c r="C11" s="1">
        <v>65000.0</v>
      </c>
      <c r="D11" s="2">
        <f>_xlfn.STDEV.S(C2:C21)</f>
        <v>16715.18377</v>
      </c>
    </row>
    <row r="12">
      <c r="A12" s="1" t="s">
        <v>16</v>
      </c>
      <c r="B12" s="1" t="s">
        <v>17</v>
      </c>
      <c r="C12" s="1">
        <v>50000.0</v>
      </c>
    </row>
    <row r="13">
      <c r="A13" s="1" t="s">
        <v>18</v>
      </c>
      <c r="B13" s="1" t="s">
        <v>17</v>
      </c>
      <c r="C13" s="1">
        <v>53000.0</v>
      </c>
    </row>
    <row r="14">
      <c r="A14" s="1" t="s">
        <v>19</v>
      </c>
      <c r="B14" s="1" t="s">
        <v>17</v>
      </c>
      <c r="C14" s="1">
        <v>56000.0</v>
      </c>
    </row>
    <row r="15">
      <c r="A15" s="1" t="s">
        <v>20</v>
      </c>
      <c r="B15" s="1" t="s">
        <v>21</v>
      </c>
      <c r="C15" s="1">
        <v>47000.0</v>
      </c>
    </row>
    <row r="16">
      <c r="A16" s="1" t="s">
        <v>22</v>
      </c>
      <c r="B16" s="1" t="s">
        <v>21</v>
      </c>
      <c r="C16" s="1">
        <v>49000.0</v>
      </c>
    </row>
    <row r="17">
      <c r="A17" s="1" t="s">
        <v>23</v>
      </c>
      <c r="B17" s="1" t="s">
        <v>21</v>
      </c>
      <c r="C17" s="1">
        <v>52000.0</v>
      </c>
    </row>
    <row r="18">
      <c r="A18" s="1" t="s">
        <v>24</v>
      </c>
      <c r="B18" s="1" t="s">
        <v>25</v>
      </c>
      <c r="C18" s="1">
        <v>51000.0</v>
      </c>
    </row>
    <row r="19">
      <c r="A19" s="1" t="s">
        <v>26</v>
      </c>
      <c r="B19" s="1" t="s">
        <v>25</v>
      </c>
      <c r="C19" s="1">
        <v>54000.0</v>
      </c>
    </row>
    <row r="20">
      <c r="A20" s="1" t="s">
        <v>27</v>
      </c>
      <c r="B20" s="1" t="s">
        <v>25</v>
      </c>
      <c r="C20" s="1">
        <v>57000.0</v>
      </c>
    </row>
    <row r="21">
      <c r="A21" s="1" t="s">
        <v>28</v>
      </c>
      <c r="B21" s="1" t="s">
        <v>29</v>
      </c>
      <c r="C21" s="1">
        <v>120000.0</v>
      </c>
    </row>
  </sheetData>
  <drawing r:id="rId1"/>
</worksheet>
</file>